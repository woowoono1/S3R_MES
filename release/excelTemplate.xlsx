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S3R_MES\"/>
    </mc:Choice>
  </mc:AlternateContent>
  <xr:revisionPtr revIDLastSave="0" documentId="13_ncr:1_{4C7A6A87-7578-408F-B12C-267C48D7CCC4}" xr6:coauthVersionLast="36" xr6:coauthVersionMax="47" xr10:uidLastSave="{00000000-0000-0000-0000-000000000000}"/>
  <bookViews>
    <workbookView xWindow="-25710" yWindow="-105" windowWidth="25815" windowHeight="15495" xr2:uid="{00000000-000D-0000-FFFF-FFFF00000000}"/>
  </bookViews>
  <sheets>
    <sheet name="생산일지" sheetId="3" r:id="rId1"/>
  </sheets>
  <definedNames>
    <definedName name="_xlnm.Print_Area" localSheetId="0">생산일지!$A$1:$S$29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3" l="1"/>
  <c r="L24" i="3"/>
  <c r="L23" i="3"/>
  <c r="G24" i="3"/>
  <c r="J24" i="3"/>
  <c r="J23" i="3"/>
  <c r="E28" i="3"/>
  <c r="E24" i="3" l="1"/>
  <c r="E27" i="3" l="1"/>
  <c r="E29" i="3"/>
  <c r="G29" i="3"/>
  <c r="E25" i="3"/>
  <c r="E26" i="3"/>
  <c r="E23" i="3" l="1"/>
  <c r="G26" i="3" l="1"/>
  <c r="G28" i="3"/>
  <c r="G27" i="3"/>
  <c r="G25" i="3" l="1"/>
</calcChain>
</file>

<file path=xl/sharedStrings.xml><?xml version="1.0" encoding="utf-8"?>
<sst xmlns="http://schemas.openxmlformats.org/spreadsheetml/2006/main" count="47" uniqueCount="47">
  <si>
    <t>품명</t>
    <phoneticPr fontId="1" type="noConversion"/>
  </si>
  <si>
    <t>생
산
결
과</t>
    <phoneticPr fontId="1" type="noConversion"/>
  </si>
  <si>
    <t>생
산
량</t>
    <phoneticPr fontId="1" type="noConversion"/>
  </si>
  <si>
    <t>중  량</t>
    <phoneticPr fontId="1" type="noConversion"/>
  </si>
  <si>
    <t>품  목</t>
    <phoneticPr fontId="1" type="noConversion"/>
  </si>
  <si>
    <t>원자재투입량(마대별)</t>
    <phoneticPr fontId="1" type="noConversion"/>
  </si>
  <si>
    <t>입고일</t>
    <phoneticPr fontId="1" type="noConversion"/>
  </si>
  <si>
    <t>단  가</t>
    <phoneticPr fontId="1" type="noConversion"/>
  </si>
  <si>
    <t>업체명</t>
    <phoneticPr fontId="1" type="noConversion"/>
  </si>
  <si>
    <t>생산단가</t>
    <phoneticPr fontId="1" type="noConversion"/>
  </si>
  <si>
    <t>생산수율단가</t>
    <phoneticPr fontId="1" type="noConversion"/>
  </si>
  <si>
    <t>매입단가</t>
    <phoneticPr fontId="1" type="noConversion"/>
  </si>
  <si>
    <t>투입비율</t>
    <phoneticPr fontId="1" type="noConversion"/>
  </si>
  <si>
    <t>투입량</t>
    <phoneticPr fontId="1" type="noConversion"/>
  </si>
  <si>
    <t>총 투입량</t>
    <phoneticPr fontId="1" type="noConversion"/>
  </si>
  <si>
    <t>중  량</t>
    <phoneticPr fontId="1" type="noConversion"/>
  </si>
  <si>
    <t>단  가</t>
    <phoneticPr fontId="1" type="noConversion"/>
  </si>
  <si>
    <t>품  목</t>
    <phoneticPr fontId="1" type="noConversion"/>
  </si>
  <si>
    <t>원자재투입량(마대별)</t>
    <phoneticPr fontId="1" type="noConversion"/>
  </si>
  <si>
    <t>입고일</t>
    <phoneticPr fontId="1" type="noConversion"/>
  </si>
  <si>
    <t xml:space="preserve"> </t>
    <phoneticPr fontId="1" type="noConversion"/>
  </si>
  <si>
    <t>생산일자</t>
    <phoneticPr fontId="1" type="noConversion"/>
  </si>
  <si>
    <t>업체명</t>
    <phoneticPr fontId="1" type="noConversion"/>
  </si>
  <si>
    <t>12py이상</t>
    <phoneticPr fontId="1" type="noConversion"/>
  </si>
  <si>
    <t>12py이하</t>
    <phoneticPr fontId="1" type="noConversion"/>
  </si>
  <si>
    <t>제품</t>
    <phoneticPr fontId="1" type="noConversion"/>
  </si>
  <si>
    <t>제품 생산량</t>
    <phoneticPr fontId="1" type="noConversion"/>
  </si>
  <si>
    <t>고철 발생량</t>
    <phoneticPr fontId="1" type="noConversion"/>
  </si>
  <si>
    <t>생산소요시간</t>
    <phoneticPr fontId="1" type="noConversion"/>
  </si>
  <si>
    <t>늄</t>
    <phoneticPr fontId="1" type="noConversion"/>
  </si>
  <si>
    <t>고가</t>
    <phoneticPr fontId="1" type="noConversion"/>
  </si>
  <si>
    <t>충주 생산일지</t>
    <phoneticPr fontId="1" type="noConversion"/>
  </si>
  <si>
    <t>저가</t>
    <phoneticPr fontId="1" type="noConversion"/>
  </si>
  <si>
    <t>고철</t>
    <phoneticPr fontId="1" type="noConversion"/>
  </si>
  <si>
    <t>일반</t>
    <phoneticPr fontId="1" type="noConversion"/>
  </si>
  <si>
    <t>스크랩</t>
    <phoneticPr fontId="1" type="noConversion"/>
  </si>
  <si>
    <t>콘덴서</t>
    <phoneticPr fontId="1" type="noConversion"/>
  </si>
  <si>
    <t>아연</t>
    <phoneticPr fontId="1" type="noConversion"/>
  </si>
  <si>
    <t>늄 발생량</t>
    <phoneticPr fontId="1" type="noConversion"/>
  </si>
  <si>
    <t>콘덴서 발생량</t>
    <phoneticPr fontId="1" type="noConversion"/>
  </si>
  <si>
    <t>아연 발생량</t>
    <phoneticPr fontId="1" type="noConversion"/>
  </si>
  <si>
    <t>재파쇄대기</t>
    <phoneticPr fontId="1" type="noConversion"/>
  </si>
  <si>
    <t>밧데리</t>
    <phoneticPr fontId="1" type="noConversion"/>
  </si>
  <si>
    <t>플라스틱</t>
    <phoneticPr fontId="1" type="noConversion"/>
  </si>
  <si>
    <r>
      <rPr>
        <b/>
        <sz val="24"/>
        <color theme="1"/>
        <rFont val="맑은 고딕"/>
        <family val="3"/>
        <charset val="129"/>
      </rPr>
      <t>재파쇄대기</t>
    </r>
    <r>
      <rPr>
        <b/>
        <sz val="24"/>
        <color theme="1"/>
        <rFont val="삼성PT L"/>
        <family val="3"/>
        <charset val="129"/>
      </rPr>
      <t xml:space="preserve"> 발생량</t>
    </r>
    <phoneticPr fontId="1" type="noConversion"/>
  </si>
  <si>
    <t>밧데리 발생량</t>
    <phoneticPr fontId="1" type="noConversion"/>
  </si>
  <si>
    <t>플라스틱 발생량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</si>
</sst>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176" formatCode="0.0%"/>
    <numFmt numFmtId="177" formatCode="#,##0_);[Red]\(#,##0\)"/>
    <numFmt numFmtId="178" formatCode="mm&quot;월&quot;\ dd&quot;일&quot;"/>
    <numFmt numFmtId="179" formatCode="yyyy\ &quot;년&quot;\ \ \ mm\ &quot;월&quot;\ \ \ dd\ &quot;일&quot;\ \ \ aaaa"/>
    <numFmt numFmtId="180" formatCode="&quot;₩&quot;#,##0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삼성PT L"/>
      <family val="3"/>
      <charset val="129"/>
    </font>
    <font>
      <b/>
      <sz val="24"/>
      <color theme="1"/>
      <name val="삼성PT L"/>
      <family val="3"/>
      <charset val="129"/>
    </font>
    <font>
      <sz val="26"/>
      <color theme="1"/>
      <name val="맑은 고딕"/>
      <family val="3"/>
      <charset val="129"/>
      <scheme val="major"/>
    </font>
    <font>
      <sz val="26"/>
      <color theme="1"/>
      <name val="삼성PT L"/>
      <family val="3"/>
      <charset val="129"/>
    </font>
    <font>
      <b/>
      <sz val="28"/>
      <color theme="1"/>
      <name val="삼성PT L"/>
      <family val="3"/>
      <charset val="129"/>
    </font>
    <font>
      <sz val="28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ajor"/>
    </font>
    <font>
      <b/>
      <sz val="26"/>
      <color theme="1"/>
      <name val="굴림"/>
      <family val="3"/>
      <charset val="129"/>
    </font>
    <font>
      <sz val="48"/>
      <color theme="1"/>
      <name val="삼성PT B"/>
      <family val="3"/>
      <charset val="129"/>
    </font>
    <font>
      <b/>
      <sz val="26"/>
      <color theme="1"/>
      <name val="Arial Unicode MS"/>
      <family val="3"/>
      <charset val="129"/>
    </font>
    <font>
      <sz val="48"/>
      <color theme="1"/>
      <name val="Arial Unicode MS"/>
      <family val="3"/>
      <charset val="129"/>
    </font>
    <font>
      <sz val="26"/>
      <name val="맑은 고딕"/>
      <family val="3"/>
      <charset val="129"/>
      <scheme val="major"/>
    </font>
    <font>
      <sz val="26"/>
      <color theme="1"/>
      <name val="맑은 고딕"/>
      <family val="3"/>
      <charset val="129"/>
    </font>
    <font>
      <sz val="24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2" xfId="0" applyBorder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3" fontId="3" fillId="0" borderId="7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3" fontId="5" fillId="3" borderId="10" xfId="0" applyNumberFormat="1" applyFont="1" applyFill="1" applyBorder="1" applyAlignment="1">
      <alignment horizontal="center" vertical="center"/>
    </xf>
    <xf numFmtId="9" fontId="3" fillId="0" borderId="37" xfId="0" applyNumberFormat="1" applyFont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176" fontId="3" fillId="0" borderId="43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horizontal="center" vertical="center"/>
    </xf>
    <xf numFmtId="3" fontId="3" fillId="0" borderId="43" xfId="0" applyNumberFormat="1" applyFont="1" applyBorder="1" applyAlignment="1">
      <alignment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3" fontId="5" fillId="3" borderId="10" xfId="0" applyNumberFormat="1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77" fontId="3" fillId="0" borderId="1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16" fillId="2" borderId="47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10" fillId="3" borderId="8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3" fontId="5" fillId="3" borderId="40" xfId="0" applyNumberFormat="1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3" fontId="5" fillId="3" borderId="38" xfId="0" applyNumberFormat="1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3" fontId="5" fillId="2" borderId="11" xfId="0" applyNumberFormat="1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center" vertical="center"/>
    </xf>
    <xf numFmtId="3" fontId="5" fillId="3" borderId="16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178" fontId="5" fillId="3" borderId="11" xfId="0" applyNumberFormat="1" applyFont="1" applyFill="1" applyBorder="1" applyAlignment="1">
      <alignment horizontal="center" vertical="center"/>
    </xf>
    <xf numFmtId="178" fontId="5" fillId="3" borderId="8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6" fontId="5" fillId="3" borderId="8" xfId="0" applyNumberFormat="1" applyFont="1" applyFill="1" applyBorder="1" applyAlignment="1">
      <alignment horizontal="center" vertical="center"/>
    </xf>
    <xf numFmtId="6" fontId="5" fillId="3" borderId="11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178" fontId="5" fillId="3" borderId="19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shrinkToFit="1"/>
    </xf>
    <xf numFmtId="0" fontId="10" fillId="2" borderId="25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6" fontId="5" fillId="3" borderId="12" xfId="0" applyNumberFormat="1" applyFont="1" applyFill="1" applyBorder="1" applyAlignment="1">
      <alignment horizontal="center" vertical="center"/>
    </xf>
    <xf numFmtId="178" fontId="5" fillId="3" borderId="14" xfId="0" applyNumberFormat="1" applyFont="1" applyFill="1" applyBorder="1" applyAlignment="1">
      <alignment horizontal="center" vertical="center"/>
    </xf>
    <xf numFmtId="178" fontId="5" fillId="3" borderId="12" xfId="0" applyNumberFormat="1" applyFont="1" applyFill="1" applyBorder="1" applyAlignment="1">
      <alignment horizontal="center" vertical="center"/>
    </xf>
    <xf numFmtId="178" fontId="5" fillId="3" borderId="9" xfId="0" applyNumberFormat="1" applyFont="1" applyFill="1" applyBorder="1" applyAlignment="1">
      <alignment horizontal="center" vertical="center"/>
    </xf>
    <xf numFmtId="178" fontId="5" fillId="3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3" fontId="5" fillId="3" borderId="34" xfId="0" applyNumberFormat="1" applyFont="1" applyFill="1" applyBorder="1" applyAlignment="1">
      <alignment horizontal="center" vertical="center"/>
    </xf>
    <xf numFmtId="178" fontId="5" fillId="3" borderId="20" xfId="0" applyNumberFormat="1" applyFont="1" applyFill="1" applyBorder="1" applyAlignment="1">
      <alignment horizontal="center" vertical="center"/>
    </xf>
    <xf numFmtId="178" fontId="5" fillId="3" borderId="16" xfId="0" applyNumberFormat="1" applyFont="1" applyFill="1" applyBorder="1" applyAlignment="1">
      <alignment horizontal="center" vertical="center"/>
    </xf>
    <xf numFmtId="180" fontId="5" fillId="3" borderId="8" xfId="0" applyNumberFormat="1" applyFont="1" applyFill="1" applyBorder="1" applyAlignment="1">
      <alignment horizontal="center" vertical="center"/>
    </xf>
    <xf numFmtId="180" fontId="5" fillId="3" borderId="7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6" fontId="5" fillId="3" borderId="14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9" fontId="3" fillId="0" borderId="26" xfId="0" applyNumberFormat="1" applyFont="1" applyBorder="1" applyAlignment="1">
      <alignment horizontal="center" vertical="center" wrapText="1"/>
    </xf>
    <xf numFmtId="179" fontId="3" fillId="0" borderId="27" xfId="0" applyNumberFormat="1" applyFont="1" applyBorder="1" applyAlignment="1">
      <alignment horizontal="center" vertical="center" wrapText="1"/>
    </xf>
    <xf numFmtId="179" fontId="3" fillId="0" borderId="24" xfId="0" applyNumberFormat="1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178" fontId="5" fillId="3" borderId="33" xfId="0" applyNumberFormat="1" applyFont="1" applyFill="1" applyBorder="1" applyAlignment="1">
      <alignment horizontal="center" vertical="center"/>
    </xf>
    <xf numFmtId="9" fontId="4" fillId="0" borderId="18" xfId="0" applyNumberFormat="1" applyFont="1" applyFill="1" applyBorder="1" applyAlignment="1">
      <alignment horizontal="center" vertical="center"/>
    </xf>
    <xf numFmtId="9" fontId="4" fillId="0" borderId="10" xfId="0" applyNumberFormat="1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topLeftCell="A7" zoomScale="40" zoomScaleNormal="40" workbookViewId="0">
      <selection activeCell="L23" sqref="L23:L29"/>
    </sheetView>
  </sheetViews>
  <sheetFormatPr defaultRowHeight="16.5"/>
  <cols>
    <col min="1" max="1" width="11" customWidth="1"/>
    <col min="2" max="2" width="8.375" customWidth="1"/>
    <col min="3" max="3" width="34.125" customWidth="1"/>
    <col min="4" max="9" width="19.625" customWidth="1"/>
    <col min="10" max="10" width="19.375" customWidth="1"/>
    <col min="11" max="19" width="19.625" customWidth="1"/>
  </cols>
  <sheetData>
    <row r="1" spans="1:20" ht="15.75" customHeight="1" thickBot="1"/>
    <row r="2" spans="1:20" ht="79.5" customHeight="1" thickTop="1" thickBot="1">
      <c r="B2" s="157" t="s">
        <v>31</v>
      </c>
      <c r="C2" s="158"/>
      <c r="D2" s="158"/>
      <c r="E2" s="158"/>
      <c r="F2" s="158"/>
      <c r="G2" s="158"/>
      <c r="H2" s="159"/>
      <c r="I2" s="160"/>
      <c r="J2" s="160"/>
      <c r="K2" s="161"/>
      <c r="L2" s="7"/>
      <c r="M2" s="162" t="s">
        <v>21</v>
      </c>
      <c r="N2" s="163"/>
      <c r="O2" s="164"/>
      <c r="P2" s="165"/>
      <c r="Q2" s="165"/>
      <c r="R2" s="165"/>
      <c r="S2" s="166"/>
    </row>
    <row r="3" spans="1:20" ht="21" customHeight="1" thickTop="1" thickBot="1">
      <c r="B3" s="6"/>
      <c r="C3" s="6"/>
      <c r="D3" s="6"/>
      <c r="E3" s="6"/>
      <c r="F3" s="6"/>
      <c r="G3" s="6"/>
      <c r="H3" s="6"/>
      <c r="I3" s="6"/>
      <c r="K3" s="5"/>
      <c r="L3" s="5"/>
      <c r="M3" s="5"/>
    </row>
    <row r="4" spans="1:20" ht="54" customHeight="1" thickBot="1">
      <c r="B4" s="133" t="s">
        <v>5</v>
      </c>
      <c r="C4" s="134"/>
      <c r="D4" s="167">
        <v>1</v>
      </c>
      <c r="E4" s="168"/>
      <c r="F4" s="169">
        <v>2</v>
      </c>
      <c r="G4" s="168"/>
      <c r="H4" s="169">
        <v>3</v>
      </c>
      <c r="I4" s="168"/>
      <c r="J4" s="169">
        <v>4</v>
      </c>
      <c r="K4" s="168"/>
      <c r="L4" s="169">
        <v>5</v>
      </c>
      <c r="M4" s="168"/>
      <c r="N4" s="169">
        <v>6</v>
      </c>
      <c r="O4" s="168"/>
      <c r="P4" s="169">
        <v>7</v>
      </c>
      <c r="Q4" s="170"/>
      <c r="R4" s="169">
        <v>8</v>
      </c>
      <c r="S4" s="171"/>
    </row>
    <row r="5" spans="1:20" ht="54" customHeight="1">
      <c r="B5" s="130" t="s">
        <v>8</v>
      </c>
      <c r="C5" s="131"/>
      <c r="D5" s="172"/>
      <c r="E5" s="148"/>
      <c r="F5" s="148"/>
      <c r="G5" s="148"/>
      <c r="H5" s="148"/>
      <c r="I5" s="148"/>
      <c r="J5" s="148"/>
      <c r="K5" s="148"/>
      <c r="L5" s="148"/>
      <c r="M5" s="148"/>
      <c r="N5" s="149"/>
      <c r="O5" s="98"/>
      <c r="P5" s="97"/>
      <c r="Q5" s="98"/>
      <c r="R5" s="97"/>
      <c r="S5" s="99"/>
    </row>
    <row r="6" spans="1:20" ht="57.75" customHeight="1">
      <c r="B6" s="118" t="s">
        <v>4</v>
      </c>
      <c r="C6" s="119"/>
      <c r="D6" s="152"/>
      <c r="E6" s="153"/>
      <c r="F6" s="153"/>
      <c r="G6" s="153"/>
      <c r="H6" s="154"/>
      <c r="I6" s="154"/>
      <c r="J6" s="153"/>
      <c r="K6" s="153"/>
      <c r="L6" s="154"/>
      <c r="M6" s="154"/>
      <c r="N6" s="126"/>
      <c r="O6" s="127"/>
      <c r="P6" s="37"/>
      <c r="Q6" s="90"/>
      <c r="R6" s="128"/>
      <c r="S6" s="155"/>
    </row>
    <row r="7" spans="1:20" ht="54" customHeight="1">
      <c r="A7" s="3"/>
      <c r="B7" s="118" t="s">
        <v>7</v>
      </c>
      <c r="C7" s="119"/>
      <c r="D7" s="156"/>
      <c r="E7" s="140"/>
      <c r="F7" s="140"/>
      <c r="G7" s="140"/>
      <c r="H7" s="140"/>
      <c r="I7" s="140"/>
      <c r="J7" s="140"/>
      <c r="K7" s="140"/>
      <c r="L7" s="140"/>
      <c r="M7" s="140"/>
      <c r="N7" s="123"/>
      <c r="O7" s="90"/>
      <c r="P7" s="123"/>
      <c r="Q7" s="90"/>
      <c r="R7" s="150"/>
      <c r="S7" s="151"/>
    </row>
    <row r="8" spans="1:20" ht="54" customHeight="1">
      <c r="B8" s="118" t="s">
        <v>19</v>
      </c>
      <c r="C8" s="119"/>
      <c r="D8" s="141"/>
      <c r="E8" s="142"/>
      <c r="F8" s="142"/>
      <c r="G8" s="142"/>
      <c r="H8" s="142"/>
      <c r="I8" s="142"/>
      <c r="J8" s="142"/>
      <c r="K8" s="142"/>
      <c r="L8" s="142"/>
      <c r="M8" s="142"/>
      <c r="N8" s="121"/>
      <c r="O8" s="143"/>
      <c r="P8" s="121"/>
      <c r="Q8" s="90"/>
      <c r="R8" s="121"/>
      <c r="S8" s="144"/>
    </row>
    <row r="9" spans="1:20" ht="54" customHeight="1" thickBot="1">
      <c r="A9" s="3"/>
      <c r="B9" s="145" t="s">
        <v>3</v>
      </c>
      <c r="C9" s="146"/>
      <c r="D9" s="147"/>
      <c r="E9" s="129"/>
      <c r="F9" s="129"/>
      <c r="G9" s="129"/>
      <c r="H9" s="129"/>
      <c r="I9" s="129"/>
      <c r="J9" s="129"/>
      <c r="K9" s="129"/>
      <c r="L9" s="129"/>
      <c r="M9" s="129"/>
      <c r="N9" s="117"/>
      <c r="O9" s="57"/>
      <c r="P9" s="117"/>
      <c r="Q9" s="57"/>
      <c r="R9" s="117"/>
      <c r="S9" s="58"/>
      <c r="T9" s="9"/>
    </row>
    <row r="10" spans="1:20" ht="54" customHeight="1" thickBot="1">
      <c r="B10" s="133" t="s">
        <v>18</v>
      </c>
      <c r="C10" s="134"/>
      <c r="D10" s="135">
        <v>9</v>
      </c>
      <c r="E10" s="136"/>
      <c r="F10" s="137">
        <v>10</v>
      </c>
      <c r="G10" s="136"/>
      <c r="H10" s="137">
        <v>11</v>
      </c>
      <c r="I10" s="136"/>
      <c r="J10" s="137">
        <v>12</v>
      </c>
      <c r="K10" s="136"/>
      <c r="L10" s="137">
        <v>13</v>
      </c>
      <c r="M10" s="136"/>
      <c r="N10" s="137">
        <v>14</v>
      </c>
      <c r="O10" s="136"/>
      <c r="P10" s="137">
        <v>15</v>
      </c>
      <c r="Q10" s="138"/>
      <c r="R10" s="137">
        <v>16</v>
      </c>
      <c r="S10" s="139"/>
    </row>
    <row r="11" spans="1:20" ht="54" customHeight="1">
      <c r="B11" s="130" t="s">
        <v>22</v>
      </c>
      <c r="C11" s="131"/>
      <c r="D11" s="132"/>
      <c r="E11" s="98"/>
      <c r="F11" s="97"/>
      <c r="G11" s="98"/>
      <c r="H11" s="97"/>
      <c r="I11" s="98"/>
      <c r="J11" s="97"/>
      <c r="K11" s="98"/>
      <c r="L11" s="97"/>
      <c r="M11" s="98"/>
      <c r="N11" s="97"/>
      <c r="O11" s="98"/>
      <c r="P11" s="97"/>
      <c r="Q11" s="98"/>
      <c r="R11" s="97"/>
      <c r="S11" s="99"/>
    </row>
    <row r="12" spans="1:20" ht="63" customHeight="1">
      <c r="B12" s="118" t="s">
        <v>17</v>
      </c>
      <c r="C12" s="119"/>
      <c r="D12" s="125"/>
      <c r="E12" s="35"/>
      <c r="F12" s="126"/>
      <c r="G12" s="127"/>
      <c r="H12" s="126"/>
      <c r="I12" s="127"/>
      <c r="J12" s="128"/>
      <c r="K12" s="128"/>
      <c r="L12" s="37"/>
      <c r="M12" s="90"/>
      <c r="N12" s="128"/>
      <c r="O12" s="128"/>
      <c r="P12" s="37"/>
      <c r="Q12" s="90"/>
      <c r="R12" s="121"/>
      <c r="S12" s="36"/>
    </row>
    <row r="13" spans="1:20" ht="54.75" customHeight="1">
      <c r="A13" s="3"/>
      <c r="B13" s="118" t="s">
        <v>16</v>
      </c>
      <c r="C13" s="119"/>
      <c r="D13" s="124"/>
      <c r="E13" s="90"/>
      <c r="F13" s="123"/>
      <c r="G13" s="90"/>
      <c r="H13" s="123"/>
      <c r="I13" s="90"/>
      <c r="J13" s="123"/>
      <c r="K13" s="90"/>
      <c r="L13" s="123"/>
      <c r="M13" s="90"/>
      <c r="N13" s="123"/>
      <c r="O13" s="90"/>
      <c r="P13" s="123"/>
      <c r="Q13" s="90"/>
      <c r="R13" s="123"/>
      <c r="S13" s="36"/>
    </row>
    <row r="14" spans="1:20" ht="54" customHeight="1">
      <c r="B14" s="118" t="s">
        <v>6</v>
      </c>
      <c r="C14" s="119"/>
      <c r="D14" s="120"/>
      <c r="E14" s="90"/>
      <c r="F14" s="121"/>
      <c r="G14" s="90"/>
      <c r="H14" s="121"/>
      <c r="I14" s="90"/>
      <c r="J14" s="121"/>
      <c r="K14" s="90"/>
      <c r="L14" s="121"/>
      <c r="M14" s="90"/>
      <c r="N14" s="121"/>
      <c r="O14" s="90"/>
      <c r="P14" s="121"/>
      <c r="Q14" s="90"/>
      <c r="R14" s="123"/>
      <c r="S14" s="36"/>
      <c r="T14" s="4"/>
    </row>
    <row r="15" spans="1:20" ht="54" customHeight="1" thickBot="1">
      <c r="A15" s="3"/>
      <c r="B15" s="118" t="s">
        <v>15</v>
      </c>
      <c r="C15" s="119"/>
      <c r="D15" s="122"/>
      <c r="E15" s="57"/>
      <c r="F15" s="117"/>
      <c r="G15" s="57"/>
      <c r="H15" s="117"/>
      <c r="I15" s="57"/>
      <c r="J15" s="117"/>
      <c r="K15" s="57"/>
      <c r="L15" s="117"/>
      <c r="M15" s="57"/>
      <c r="N15" s="117"/>
      <c r="O15" s="57"/>
      <c r="P15" s="117"/>
      <c r="Q15" s="57"/>
      <c r="R15" s="117"/>
      <c r="S15" s="58"/>
    </row>
    <row r="16" spans="1:20" ht="54" customHeight="1">
      <c r="A16" s="2"/>
      <c r="B16" s="44" t="s">
        <v>2</v>
      </c>
      <c r="C16" s="66" t="s">
        <v>25</v>
      </c>
      <c r="D16" s="108" t="s">
        <v>23</v>
      </c>
      <c r="E16" s="109"/>
      <c r="F16" s="110" t="s">
        <v>24</v>
      </c>
      <c r="G16" s="111"/>
      <c r="H16" s="106" t="s">
        <v>36</v>
      </c>
      <c r="I16" s="107"/>
      <c r="J16" s="114"/>
      <c r="K16" s="115"/>
      <c r="L16" s="116"/>
      <c r="M16" s="98"/>
      <c r="N16" s="97"/>
      <c r="O16" s="98"/>
      <c r="P16" s="97"/>
      <c r="Q16" s="98"/>
      <c r="R16" s="97"/>
      <c r="S16" s="99"/>
    </row>
    <row r="17" spans="1:30" ht="54" customHeight="1">
      <c r="A17" s="2"/>
      <c r="B17" s="45"/>
      <c r="C17" s="67"/>
      <c r="D17" s="100"/>
      <c r="E17" s="101"/>
      <c r="F17" s="102"/>
      <c r="G17" s="103"/>
      <c r="H17" s="112" t="s">
        <v>37</v>
      </c>
      <c r="I17" s="113"/>
      <c r="J17" s="104"/>
      <c r="K17" s="105"/>
      <c r="L17" s="38"/>
      <c r="M17" s="90"/>
      <c r="N17" s="104"/>
      <c r="O17" s="90"/>
      <c r="P17" s="37"/>
      <c r="Q17" s="90"/>
      <c r="R17" s="95"/>
      <c r="S17" s="96"/>
    </row>
    <row r="18" spans="1:30" ht="54" customHeight="1">
      <c r="A18" s="2"/>
      <c r="B18" s="46"/>
      <c r="C18" s="68" t="s">
        <v>29</v>
      </c>
      <c r="D18" s="30" t="s">
        <v>32</v>
      </c>
      <c r="E18" s="31"/>
      <c r="F18" s="32" t="s">
        <v>30</v>
      </c>
      <c r="G18" s="33"/>
      <c r="H18" s="34" t="s">
        <v>41</v>
      </c>
      <c r="I18" s="31"/>
      <c r="J18" s="37"/>
      <c r="K18" s="36"/>
      <c r="L18" s="38"/>
      <c r="M18" s="90"/>
      <c r="N18" s="37"/>
      <c r="O18" s="90"/>
      <c r="P18" s="37"/>
      <c r="Q18" s="90"/>
      <c r="R18" s="37"/>
      <c r="S18" s="36"/>
      <c r="AD18" t="s">
        <v>20</v>
      </c>
    </row>
    <row r="19" spans="1:30" ht="54" customHeight="1">
      <c r="A19" s="2"/>
      <c r="B19" s="46"/>
      <c r="C19" s="69"/>
      <c r="D19" s="38"/>
      <c r="E19" s="39"/>
      <c r="F19" s="37"/>
      <c r="G19" s="35"/>
      <c r="H19" s="34" t="s">
        <v>42</v>
      </c>
      <c r="I19" s="31"/>
      <c r="J19" s="37"/>
      <c r="K19" s="36"/>
      <c r="L19" s="13"/>
      <c r="M19" s="10"/>
      <c r="N19" s="11"/>
      <c r="O19" s="10"/>
      <c r="P19" s="11"/>
      <c r="Q19" s="10"/>
      <c r="R19" s="11"/>
      <c r="S19" s="12"/>
    </row>
    <row r="20" spans="1:30" ht="54" customHeight="1">
      <c r="A20" s="2"/>
      <c r="B20" s="46"/>
      <c r="C20" s="68" t="s">
        <v>33</v>
      </c>
      <c r="D20" s="30" t="s">
        <v>34</v>
      </c>
      <c r="E20" s="31"/>
      <c r="F20" s="32" t="s">
        <v>35</v>
      </c>
      <c r="G20" s="33"/>
      <c r="H20" s="34" t="s">
        <v>43</v>
      </c>
      <c r="I20" s="31"/>
      <c r="J20" s="35"/>
      <c r="K20" s="36"/>
      <c r="L20" s="35"/>
      <c r="M20" s="90"/>
      <c r="N20" s="37"/>
      <c r="O20" s="90"/>
      <c r="P20" s="37"/>
      <c r="Q20" s="90"/>
      <c r="R20" s="37"/>
      <c r="S20" s="36"/>
    </row>
    <row r="21" spans="1:30" ht="54" customHeight="1" thickBot="1">
      <c r="A21" s="2"/>
      <c r="B21" s="47"/>
      <c r="C21" s="70"/>
      <c r="D21" s="56"/>
      <c r="E21" s="57"/>
      <c r="F21" s="56"/>
      <c r="G21" s="85"/>
      <c r="H21" s="86"/>
      <c r="I21" s="87"/>
      <c r="J21" s="88"/>
      <c r="K21" s="89"/>
      <c r="L21" s="85"/>
      <c r="M21" s="57"/>
      <c r="N21" s="56"/>
      <c r="O21" s="57"/>
      <c r="P21" s="56"/>
      <c r="Q21" s="57"/>
      <c r="R21" s="56"/>
      <c r="S21" s="58"/>
    </row>
    <row r="22" spans="1:30" ht="21.75" customHeight="1" thickBot="1"/>
    <row r="23" spans="1:30" ht="60" customHeight="1">
      <c r="B23" s="59" t="s">
        <v>1</v>
      </c>
      <c r="C23" s="62" t="s">
        <v>14</v>
      </c>
      <c r="D23" s="63"/>
      <c r="E23" s="64">
        <f>SUM(D9:S9,D15:S15)</f>
        <v>0</v>
      </c>
      <c r="F23" s="65"/>
      <c r="G23" s="14" t="str">
        <f>IF(E23&gt;0,SUM(G24:G28, L23:L24),"-")</f>
        <v>-</v>
      </c>
      <c r="H23" s="71" t="s">
        <v>45</v>
      </c>
      <c r="I23" s="72"/>
      <c r="J23" s="65">
        <f>J19</f>
        <v>0</v>
      </c>
      <c r="K23" s="65"/>
      <c r="L23" s="173" t="str">
        <f>IF(J23&gt;0,J23/$E$23,"-")</f>
        <v>-</v>
      </c>
      <c r="M23" s="79" t="s">
        <v>0</v>
      </c>
      <c r="N23" s="80"/>
      <c r="O23" s="91"/>
      <c r="P23" s="92"/>
      <c r="Q23" s="18"/>
      <c r="R23" s="48"/>
      <c r="S23" s="49"/>
    </row>
    <row r="24" spans="1:30" ht="60" customHeight="1">
      <c r="B24" s="60"/>
      <c r="C24" s="50" t="s">
        <v>26</v>
      </c>
      <c r="D24" s="51"/>
      <c r="E24" s="52">
        <f>SUM(D17:G17)</f>
        <v>0</v>
      </c>
      <c r="F24" s="53"/>
      <c r="G24" s="15" t="str">
        <f>IF(E24&gt;0,E24/$E$23,"-")</f>
        <v>-</v>
      </c>
      <c r="H24" s="27" t="s">
        <v>46</v>
      </c>
      <c r="I24" s="28"/>
      <c r="J24" s="53">
        <f>J20</f>
        <v>0</v>
      </c>
      <c r="K24" s="53"/>
      <c r="L24" s="174" t="str">
        <f>IF(J24&gt;0,J24/$E$23,"-")</f>
        <v>-</v>
      </c>
      <c r="M24" s="29" t="s">
        <v>13</v>
      </c>
      <c r="N24" s="81"/>
      <c r="O24" s="93"/>
      <c r="P24" s="94"/>
      <c r="Q24" s="19"/>
      <c r="R24" s="54"/>
      <c r="S24" s="55"/>
    </row>
    <row r="25" spans="1:30" ht="60" customHeight="1">
      <c r="B25" s="60"/>
      <c r="C25" s="50" t="s">
        <v>27</v>
      </c>
      <c r="D25" s="51"/>
      <c r="E25" s="52">
        <f>D21+F21</f>
        <v>0</v>
      </c>
      <c r="F25" s="53"/>
      <c r="G25" s="15" t="str">
        <f t="shared" ref="G25:G28" si="0">IF(E25&gt;0,E25/$E$23,"-")</f>
        <v>-</v>
      </c>
      <c r="H25" s="29" t="s">
        <v>28</v>
      </c>
      <c r="I25" s="28"/>
      <c r="J25" s="73"/>
      <c r="K25" s="24"/>
      <c r="L25" s="174"/>
      <c r="M25" s="29" t="s">
        <v>12</v>
      </c>
      <c r="N25" s="81"/>
      <c r="O25" s="23"/>
      <c r="P25" s="24"/>
      <c r="Q25" s="20"/>
      <c r="R25" s="40"/>
      <c r="S25" s="41"/>
    </row>
    <row r="26" spans="1:30" ht="60" customHeight="1">
      <c r="B26" s="60"/>
      <c r="C26" s="29" t="s">
        <v>38</v>
      </c>
      <c r="D26" s="28"/>
      <c r="E26" s="52">
        <f>D19+F19</f>
        <v>0</v>
      </c>
      <c r="F26" s="53"/>
      <c r="G26" s="15" t="str">
        <f t="shared" si="0"/>
        <v>-</v>
      </c>
      <c r="H26" s="29"/>
      <c r="I26" s="28"/>
      <c r="J26" s="73"/>
      <c r="K26" s="24"/>
      <c r="L26" s="174"/>
      <c r="M26" s="29" t="s">
        <v>11</v>
      </c>
      <c r="N26" s="81"/>
      <c r="O26" s="23"/>
      <c r="P26" s="24"/>
      <c r="Q26" s="21"/>
      <c r="R26" s="17"/>
      <c r="S26" s="8"/>
    </row>
    <row r="27" spans="1:30" ht="60" customHeight="1">
      <c r="B27" s="60"/>
      <c r="C27" s="50" t="s">
        <v>39</v>
      </c>
      <c r="D27" s="51"/>
      <c r="E27" s="52">
        <f>J16</f>
        <v>0</v>
      </c>
      <c r="F27" s="53"/>
      <c r="G27" s="15" t="str">
        <f t="shared" si="0"/>
        <v>-</v>
      </c>
      <c r="H27" s="29"/>
      <c r="I27" s="28"/>
      <c r="J27" s="73"/>
      <c r="K27" s="24"/>
      <c r="L27" s="174"/>
      <c r="M27" s="29" t="s">
        <v>10</v>
      </c>
      <c r="N27" s="81"/>
      <c r="O27" s="23"/>
      <c r="P27" s="24"/>
      <c r="Q27" s="20"/>
      <c r="R27" s="40"/>
      <c r="S27" s="41"/>
    </row>
    <row r="28" spans="1:30" ht="60" customHeight="1">
      <c r="B28" s="60"/>
      <c r="C28" s="50" t="s">
        <v>44</v>
      </c>
      <c r="D28" s="51"/>
      <c r="E28" s="52">
        <f>J18</f>
        <v>0</v>
      </c>
      <c r="F28" s="53"/>
      <c r="G28" s="15" t="str">
        <f t="shared" si="0"/>
        <v>-</v>
      </c>
      <c r="H28" s="29"/>
      <c r="I28" s="28"/>
      <c r="J28" s="73"/>
      <c r="K28" s="24"/>
      <c r="L28" s="174"/>
      <c r="M28" s="29" t="s">
        <v>9</v>
      </c>
      <c r="N28" s="81"/>
      <c r="O28" s="23"/>
      <c r="P28" s="24"/>
      <c r="Q28" s="20"/>
      <c r="R28" s="40"/>
      <c r="S28" s="41"/>
    </row>
    <row r="29" spans="1:30" ht="60" customHeight="1" thickBot="1">
      <c r="B29" s="61"/>
      <c r="C29" s="74" t="s">
        <v>40</v>
      </c>
      <c r="D29" s="75"/>
      <c r="E29" s="76">
        <f>J17</f>
        <v>0</v>
      </c>
      <c r="F29" s="77"/>
      <c r="G29" s="16" t="str">
        <f>IF(E29&gt;0,E29/$E$23,"-")</f>
        <v>-</v>
      </c>
      <c r="H29" s="83"/>
      <c r="I29" s="84"/>
      <c r="J29" s="78"/>
      <c r="K29" s="26"/>
      <c r="L29" s="175"/>
      <c r="M29" s="82"/>
      <c r="N29" s="82"/>
      <c r="O29" s="25"/>
      <c r="P29" s="26"/>
      <c r="Q29" s="22"/>
      <c r="R29" s="42"/>
      <c r="S29" s="43"/>
    </row>
    <row r="30" spans="1:30" ht="30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30" ht="30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30" ht="30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ht="30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ht="30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ht="30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ht="30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mergeCells count="209">
    <mergeCell ref="B2:G2"/>
    <mergeCell ref="H2:K2"/>
    <mergeCell ref="P5:Q5"/>
    <mergeCell ref="R5:S5"/>
    <mergeCell ref="M2:N2"/>
    <mergeCell ref="O2:S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B5:C5"/>
    <mergeCell ref="D5:E5"/>
    <mergeCell ref="F5:G5"/>
    <mergeCell ref="R8:S8"/>
    <mergeCell ref="B9:C9"/>
    <mergeCell ref="D9:E9"/>
    <mergeCell ref="F9:G9"/>
    <mergeCell ref="H9:I9"/>
    <mergeCell ref="J9:K9"/>
    <mergeCell ref="H5:I5"/>
    <mergeCell ref="J5:K5"/>
    <mergeCell ref="L5:M5"/>
    <mergeCell ref="N5:O5"/>
    <mergeCell ref="R7:S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L9:M9"/>
    <mergeCell ref="N9:O9"/>
    <mergeCell ref="P9:Q9"/>
    <mergeCell ref="R9:S9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P12:Q12"/>
    <mergeCell ref="R12:S12"/>
    <mergeCell ref="B13:C13"/>
    <mergeCell ref="D13:E13"/>
    <mergeCell ref="F13:G13"/>
    <mergeCell ref="H13:I13"/>
    <mergeCell ref="J13:K13"/>
    <mergeCell ref="P13:Q13"/>
    <mergeCell ref="R13:S13"/>
    <mergeCell ref="L13:M13"/>
    <mergeCell ref="N13:O13"/>
    <mergeCell ref="B12:C12"/>
    <mergeCell ref="D12:E12"/>
    <mergeCell ref="F12:G12"/>
    <mergeCell ref="H12:I12"/>
    <mergeCell ref="J12:K12"/>
    <mergeCell ref="L12:M12"/>
    <mergeCell ref="N12:O12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P14:Q14"/>
    <mergeCell ref="R14:S14"/>
    <mergeCell ref="R17:S17"/>
    <mergeCell ref="N16:O16"/>
    <mergeCell ref="P16:Q16"/>
    <mergeCell ref="R16:S16"/>
    <mergeCell ref="D17:E17"/>
    <mergeCell ref="F17:G17"/>
    <mergeCell ref="J17:K17"/>
    <mergeCell ref="L17:M17"/>
    <mergeCell ref="N17:O17"/>
    <mergeCell ref="P17:Q17"/>
    <mergeCell ref="H16:I16"/>
    <mergeCell ref="D16:E16"/>
    <mergeCell ref="F16:G16"/>
    <mergeCell ref="H17:I17"/>
    <mergeCell ref="J16:K16"/>
    <mergeCell ref="L16:M16"/>
    <mergeCell ref="R27:S27"/>
    <mergeCell ref="C26:D26"/>
    <mergeCell ref="E26:F26"/>
    <mergeCell ref="J23:K23"/>
    <mergeCell ref="L18:M18"/>
    <mergeCell ref="N18:O18"/>
    <mergeCell ref="P18:Q18"/>
    <mergeCell ref="R18:S18"/>
    <mergeCell ref="L20:M20"/>
    <mergeCell ref="N20:O20"/>
    <mergeCell ref="P20:Q20"/>
    <mergeCell ref="R20:S20"/>
    <mergeCell ref="O23:P23"/>
    <mergeCell ref="O24:P24"/>
    <mergeCell ref="O25:P25"/>
    <mergeCell ref="B16:B21"/>
    <mergeCell ref="R23:S23"/>
    <mergeCell ref="C24:D24"/>
    <mergeCell ref="E24:F24"/>
    <mergeCell ref="J24:K24"/>
    <mergeCell ref="R24:S24"/>
    <mergeCell ref="P21:Q21"/>
    <mergeCell ref="R21:S21"/>
    <mergeCell ref="B23:B29"/>
    <mergeCell ref="C23:D23"/>
    <mergeCell ref="E23:F23"/>
    <mergeCell ref="C16:C17"/>
    <mergeCell ref="C18:C19"/>
    <mergeCell ref="J19:K19"/>
    <mergeCell ref="C20:C21"/>
    <mergeCell ref="H23:I23"/>
    <mergeCell ref="C28:D28"/>
    <mergeCell ref="E28:F28"/>
    <mergeCell ref="J28:K28"/>
    <mergeCell ref="E25:F25"/>
    <mergeCell ref="C29:D29"/>
    <mergeCell ref="E29:F29"/>
    <mergeCell ref="J29:K29"/>
    <mergeCell ref="C25:D25"/>
    <mergeCell ref="D18:E18"/>
    <mergeCell ref="F18:G18"/>
    <mergeCell ref="H18:I18"/>
    <mergeCell ref="J18:K18"/>
    <mergeCell ref="D19:E19"/>
    <mergeCell ref="F19:G19"/>
    <mergeCell ref="H19:I19"/>
    <mergeCell ref="R28:S28"/>
    <mergeCell ref="R29:S29"/>
    <mergeCell ref="J25:K25"/>
    <mergeCell ref="H27:I27"/>
    <mergeCell ref="J26:K26"/>
    <mergeCell ref="M23:N23"/>
    <mergeCell ref="M24:N24"/>
    <mergeCell ref="M25:N25"/>
    <mergeCell ref="M26:N26"/>
    <mergeCell ref="M27:N27"/>
    <mergeCell ref="M28:N28"/>
    <mergeCell ref="M29:N29"/>
    <mergeCell ref="H28:I28"/>
    <mergeCell ref="H29:I29"/>
    <mergeCell ref="R25:S25"/>
    <mergeCell ref="C27:D27"/>
    <mergeCell ref="E27:F27"/>
    <mergeCell ref="O26:P26"/>
    <mergeCell ref="O27:P27"/>
    <mergeCell ref="O28:P28"/>
    <mergeCell ref="O29:P29"/>
    <mergeCell ref="H24:I24"/>
    <mergeCell ref="H25:I25"/>
    <mergeCell ref="H26:I26"/>
    <mergeCell ref="D20:E20"/>
    <mergeCell ref="F20:G20"/>
    <mergeCell ref="H20:I20"/>
    <mergeCell ref="J20:K20"/>
    <mergeCell ref="D21:E21"/>
    <mergeCell ref="F21:G21"/>
    <mergeCell ref="H21:I21"/>
    <mergeCell ref="J21:K21"/>
    <mergeCell ref="L21:M21"/>
    <mergeCell ref="N21:O21"/>
    <mergeCell ref="J27:K27"/>
  </mergeCells>
  <phoneticPr fontId="1" type="noConversion"/>
  <printOptions horizontalCentered="1"/>
  <pageMargins left="0.11811023622047245" right="0.11811023622047245" top="0.19685039370078741" bottom="0" header="0" footer="0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</vt:lpstr>
      <vt:lpstr>생산일지!Print_Area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DEV</cp:lastModifiedBy>
  <cp:lastPrinted>2026-03-11T02:15:42Z</cp:lastPrinted>
  <dcterms:created xsi:type="dcterms:W3CDTF">2023-07-19T06:36:32Z</dcterms:created>
  <dcterms:modified xsi:type="dcterms:W3CDTF">2026-03-11T04:30:16Z</dcterms:modified>
</cp:coreProperties>
</file>